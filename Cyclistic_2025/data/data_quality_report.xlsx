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vier\Documents\Analisis de datos\Caso Practico\Cyclistic_Study_Case\Cyclistic_2025_Portfolio_with_Quality_Report\Cyclistic_2025\data\"/>
    </mc:Choice>
  </mc:AlternateContent>
  <xr:revisionPtr revIDLastSave="0" documentId="13_ncr:1_{5BEBC764-7EEC-4C4A-8CE1-20E149E08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ing Summary" sheetId="1" r:id="rId1"/>
    <sheet name="Data Quality Checks" sheetId="2" r:id="rId2"/>
    <sheet name="Cleaning Methodolo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9" i="1"/>
  <c r="B8" i="1"/>
  <c r="B10" i="1" s="1"/>
</calcChain>
</file>

<file path=xl/sharedStrings.xml><?xml version="1.0" encoding="utf-8"?>
<sst xmlns="http://schemas.openxmlformats.org/spreadsheetml/2006/main" count="185" uniqueCount="154">
  <si>
    <t>CYCLISTIC 2025 | DATA QUALITY</t>
  </si>
  <si>
    <t>Verified BigQuery results • Trip-level analysis • Chicago local time</t>
  </si>
  <si>
    <t>METRIC</t>
  </si>
  <si>
    <t>VALUE</t>
  </si>
  <si>
    <t>UNIT / STATUS</t>
  </si>
  <si>
    <t>INTERPRETATION</t>
  </si>
  <si>
    <t>Original records</t>
  </si>
  <si>
    <t>rides</t>
  </si>
  <si>
    <t>Source: cyclistic_2025.trips_raw</t>
  </si>
  <si>
    <t>Valid cleaned rides</t>
  </si>
  <si>
    <t>Reproduced from raw data and matched to final dataset</t>
  </si>
  <si>
    <t>Excluded records</t>
  </si>
  <si>
    <t>Original records minus valid cleaned rides</t>
  </si>
  <si>
    <t>Retention rate</t>
  </si>
  <si>
    <t>percentage</t>
  </si>
  <si>
    <t>Share of original records retained</t>
  </si>
  <si>
    <t>Exclusion rate</t>
  </si>
  <si>
    <t>Share of original records excluded</t>
  </si>
  <si>
    <t>Unique ride IDs</t>
  </si>
  <si>
    <t>IDs</t>
  </si>
  <si>
    <t>All cleaned rides have distinct ride_id values</t>
  </si>
  <si>
    <t>Duplicate ride IDs</t>
  </si>
  <si>
    <t>Cleaned records minus unique IDs</t>
  </si>
  <si>
    <t>Average ride duration</t>
  </si>
  <si>
    <t>minutes</t>
  </si>
  <si>
    <t>Rounded to two decimal places</t>
  </si>
  <si>
    <t>Minimum ride duration</t>
  </si>
  <si>
    <t>Approximately 1 second</t>
  </si>
  <si>
    <t>Maximum ride duration</t>
  </si>
  <si>
    <t>Less than 24 hours</t>
  </si>
  <si>
    <t>First local start date</t>
  </si>
  <si>
    <t>2025-01-01</t>
  </si>
  <si>
    <t>date</t>
  </si>
  <si>
    <t>From validated Tableau dataset</t>
  </si>
  <si>
    <t>Last local start date</t>
  </si>
  <si>
    <t>2025-12-31</t>
  </si>
  <si>
    <t>SCOPE &amp; EVIDENCE</t>
  </si>
  <si>
    <t>This report documents verified cleaning metrics, not the full trip-level dataset. The five aggregated CSVs used by Tableau are stored separately.</t>
  </si>
  <si>
    <t>DATA QUALITY | VALIDATION</t>
  </si>
  <si>
    <t>Observed values from BigQuery • Exclusion categories should not be assumed disjoint</t>
  </si>
  <si>
    <t>CHECK</t>
  </si>
  <si>
    <t>OBSERVED</t>
  </si>
  <si>
    <t>RESULT</t>
  </si>
  <si>
    <t>NOTES / EVIDENCE</t>
  </si>
  <si>
    <t>Verified</t>
  </si>
  <si>
    <t>COUNT(*) from trips_raw</t>
  </si>
  <si>
    <t>Invalid start dates</t>
  </si>
  <si>
    <t>Pass</t>
  </si>
  <si>
    <t>SAFE_CAST(started_at AS DATETIME) IS NULL</t>
  </si>
  <si>
    <t>Invalid end dates</t>
  </si>
  <si>
    <t>SAFE_CAST(ended_at AS DATETIME) IS NULL</t>
  </si>
  <si>
    <t>Trips below 1 second</t>
  </si>
  <si>
    <t>Excluded</t>
  </si>
  <si>
    <t>Duration evaluated after America/Chicago conversion</t>
  </si>
  <si>
    <t>Trips above 24 hours</t>
  </si>
  <si>
    <t>Trips starting outside 2025</t>
  </si>
  <si>
    <t>Chicago-local starting date</t>
  </si>
  <si>
    <t>Final valid rides</t>
  </si>
  <si>
    <t>Duration 1 second to 24 hours; local start year 2025</t>
  </si>
  <si>
    <t>Distinct final ride IDs</t>
  </si>
  <si>
    <t>All final IDs unique</t>
  </si>
  <si>
    <t>IDs missing from previous final</t>
  </si>
  <si>
    <t>Set difference against trips_final_corrected</t>
  </si>
  <si>
    <t>IDs added versus previous final</t>
  </si>
  <si>
    <t>Duration differences</t>
  </si>
  <si>
    <t>Tolerance: 0.000001 minutes</t>
  </si>
  <si>
    <t>Hour differences</t>
  </si>
  <si>
    <t>ride_hour comparison</t>
  </si>
  <si>
    <t>Day-of-week differences</t>
  </si>
  <si>
    <t>day_of_week comparison</t>
  </si>
  <si>
    <t>Month differences</t>
  </si>
  <si>
    <t>month comparison</t>
  </si>
  <si>
    <t>Day-type differences</t>
  </si>
  <si>
    <t>weekday / weekend comparison</t>
  </si>
  <si>
    <t>Missing start latitude</t>
  </si>
  <si>
    <t>From trips_tableau</t>
  </si>
  <si>
    <t>Missing start longitude</t>
  </si>
  <si>
    <t>Missing end latitude</t>
  </si>
  <si>
    <t>Known missingness</t>
  </si>
  <si>
    <t>From trips_tableau; exclude from maps requiring endpoint</t>
  </si>
  <si>
    <t>Missing end longitude</t>
  </si>
  <si>
    <t>Overlapping exclusion categories</t>
  </si>
  <si>
    <t>Not separately tested</t>
  </si>
  <si>
    <t>Category counts sum to exclusions, but overlap not explicitly checked</t>
  </si>
  <si>
    <t>Missing station names</t>
  </si>
  <si>
    <t>Not finalized</t>
  </si>
  <si>
    <t>Missingness previously explored; final counts not re-verified</t>
  </si>
  <si>
    <t>METHODOLOGY | REPRODUCIBILITY</t>
  </si>
  <si>
    <t>Source-to-output transformations and analytical caveats</t>
  </si>
  <si>
    <t>STEP</t>
  </si>
  <si>
    <t>OPERATION</t>
  </si>
  <si>
    <t>IMPLEMENTATION / RULE</t>
  </si>
  <si>
    <t>PURPOSE</t>
  </si>
  <si>
    <t>01 • Source</t>
  </si>
  <si>
    <t>Import monthly CSV files</t>
  </si>
  <si>
    <t>12 monthly Divvy/Cyclistic 2025 CSVs consolidated into trips_raw</t>
  </si>
  <si>
    <t>Create one source table</t>
  </si>
  <si>
    <t>02 • Parse</t>
  </si>
  <si>
    <t>Parse local date/time</t>
  </si>
  <si>
    <t>SAFE_CAST(started_at AS DATETIME), SAFE_CAST(ended_at AS DATETIME)</t>
  </si>
  <si>
    <t>Validate timestamp input</t>
  </si>
  <si>
    <t>03 • Time zone</t>
  </si>
  <si>
    <t>Interpret Chicago local time</t>
  </si>
  <si>
    <t>TIMESTAMP(local_datetime, 'America/Chicago')</t>
  </si>
  <si>
    <t>Prevent UTC-local time shift</t>
  </si>
  <si>
    <t>04 • Duration</t>
  </si>
  <si>
    <t>Compute trip length</t>
  </si>
  <si>
    <t>TIMESTAMP_DIFF(end_ts, start_ts, MICROSECOND) / 60000000.0</t>
  </si>
  <si>
    <t>Preserve sub-minute precision</t>
  </si>
  <si>
    <t>05 • Filter</t>
  </si>
  <si>
    <t>Remove short trips</t>
  </si>
  <si>
    <t>ride_length_minutes &gt;= 1/60</t>
  </si>
  <si>
    <t>Minimum 1 second</t>
  </si>
  <si>
    <t>06 • Filter</t>
  </si>
  <si>
    <t>Remove excessive trips</t>
  </si>
  <si>
    <t>ride_length_minutes &lt;= 1440</t>
  </si>
  <si>
    <t>Maximum 24 hours</t>
  </si>
  <si>
    <t>07 • Filter</t>
  </si>
  <si>
    <t>Restrict analysis period</t>
  </si>
  <si>
    <t>Local start &gt;= 2025-01-01 and &lt; 2026-01-01</t>
  </si>
  <si>
    <t>Analyze 2025 only</t>
  </si>
  <si>
    <t>08 • Features</t>
  </si>
  <si>
    <t>Create time features</t>
  </si>
  <si>
    <t>ride_hour, day_of_week, day_name, month, year, day_type</t>
  </si>
  <si>
    <t>Support segment analysis</t>
  </si>
  <si>
    <t>09 • Validation</t>
  </si>
  <si>
    <t>Check count and uniqueness</t>
  </si>
  <si>
    <t>COUNT(*), COUNT(DISTINCT ride_id)</t>
  </si>
  <si>
    <t>Verify row-level uniqueness</t>
  </si>
  <si>
    <t>10 • Reconciliation</t>
  </si>
  <si>
    <t>Compare prior final dataset</t>
  </si>
  <si>
    <t>EXCEPT DISTINCT on ride_id; compare duration/time features</t>
  </si>
  <si>
    <t>Confirm reproducibility</t>
  </si>
  <si>
    <t>11 • Tableau</t>
  </si>
  <si>
    <t>Build reporting dataset</t>
  </si>
  <si>
    <t>Convert coordinates to FLOAT64; keep Chicago local DATETIME</t>
  </si>
  <si>
    <t>Prepare BI-ready fields</t>
  </si>
  <si>
    <t>12 • Export</t>
  </si>
  <si>
    <t>Aggregate for Tableau Public</t>
  </si>
  <si>
    <t>GROUP BY rider type, month, day, hour, bicycle type</t>
  </si>
  <si>
    <t>Use lightweight public CSVs</t>
  </si>
  <si>
    <t>LIMITATION</t>
  </si>
  <si>
    <t>Ambiguous DST transition</t>
  </si>
  <si>
    <t>Fall-back local times can map to more than one UTC instant</t>
  </si>
  <si>
    <t>Offset not available in raw local timestamps</t>
  </si>
  <si>
    <t>Trip-level records</t>
  </si>
  <si>
    <t>Ride counts are not unique rider counts</t>
  </si>
  <si>
    <t>Avoid person-level claims</t>
  </si>
  <si>
    <t>Missing endpoints</t>
  </si>
  <si>
    <t>134 trips missing end latitude/longitude</t>
  </si>
  <si>
    <t>Exclude from endpoint maps only</t>
  </si>
  <si>
    <t>Descriptive findings</t>
  </si>
  <si>
    <t>Patterns do not establish motivations or conversion likelihood</t>
  </si>
  <si>
    <t>Avoid causal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</si>
</sst>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"/>
  </numFmts>
  <fonts count="5">
    <font>
      <sz val="11"/>
      <name val="Carlito"/>
    </font>
    <font>
      <b/>
      <sz val="18"/>
      <color rgb="FFFFFFFF"/>
      <name val="Carlito"/>
    </font>
    <font>
      <i/>
      <sz val="11"/>
      <color rgb="FF607083"/>
      <name val="Carlito"/>
    </font>
    <font>
      <b/>
      <sz val="11"/>
      <color rgb="FFFFFFFF"/>
      <name val="Carlito"/>
    </font>
    <font>
      <i/>
      <sz val="11"/>
      <color rgb="FF60708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4F5"/>
      </patternFill>
    </fill>
    <fill>
      <patternFill patternType="solid">
        <fgColor rgb="FF087F8C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0" xfId="0" applyFont="1" applyFill="1"/>
    <xf numFmtId="0" fontId="0" fillId="0" borderId="0" xfId="0" applyAlignment="1">
      <alignment wrapText="1"/>
    </xf>
    <xf numFmtId="0" fontId="3" fillId="5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5" topLeftCell="A6" activePane="bottomLeft" state="frozen"/>
      <selection pane="bottomLeft" activeCell="B17" sqref="B17"/>
    </sheetView>
  </sheetViews>
  <sheetFormatPr defaultRowHeight="13.8"/>
  <cols>
    <col min="1" max="1" width="33" customWidth="1"/>
    <col min="2" max="2" width="22" customWidth="1"/>
    <col min="3" max="3" width="25" customWidth="1"/>
    <col min="4" max="4" width="60" customWidth="1"/>
  </cols>
  <sheetData>
    <row r="1" spans="1:4" ht="25.95" customHeight="1">
      <c r="A1" s="6" t="s">
        <v>0</v>
      </c>
      <c r="B1" s="6"/>
      <c r="C1" s="6"/>
      <c r="D1" s="6"/>
    </row>
    <row r="2" spans="1:4" ht="25.95" customHeight="1">
      <c r="A2" s="6"/>
      <c r="B2" s="6"/>
      <c r="C2" s="6"/>
      <c r="D2" s="6"/>
    </row>
    <row r="3" spans="1:4" ht="30" customHeight="1">
      <c r="A3" s="11" t="s">
        <v>1</v>
      </c>
      <c r="B3" s="11"/>
      <c r="C3" s="11"/>
      <c r="D3" s="11"/>
    </row>
    <row r="5" spans="1:4" ht="28.95" customHeight="1">
      <c r="A5" s="10" t="s">
        <v>2</v>
      </c>
      <c r="B5" s="10" t="s">
        <v>3</v>
      </c>
      <c r="C5" s="10" t="s">
        <v>4</v>
      </c>
      <c r="D5" s="10" t="s">
        <v>5</v>
      </c>
    </row>
    <row r="6" spans="1:4" ht="25.05" customHeight="1">
      <c r="A6" t="s">
        <v>6</v>
      </c>
      <c r="B6" s="3">
        <v>5552994</v>
      </c>
      <c r="C6" t="s">
        <v>7</v>
      </c>
      <c r="D6" t="s">
        <v>8</v>
      </c>
    </row>
    <row r="7" spans="1:4" ht="25.05" customHeight="1">
      <c r="A7" t="s">
        <v>9</v>
      </c>
      <c r="B7" s="3">
        <v>5545493</v>
      </c>
      <c r="C7" t="s">
        <v>7</v>
      </c>
      <c r="D7" t="s">
        <v>10</v>
      </c>
    </row>
    <row r="8" spans="1:4" ht="25.05" customHeight="1">
      <c r="A8" t="s">
        <v>11</v>
      </c>
      <c r="B8" s="3">
        <f>B6-B7</f>
        <v>7501</v>
      </c>
      <c r="C8" t="s">
        <v>7</v>
      </c>
      <c r="D8" t="s">
        <v>12</v>
      </c>
    </row>
    <row r="9" spans="1:4" ht="25.05" customHeight="1">
      <c r="A9" t="s">
        <v>13</v>
      </c>
      <c r="B9" s="2">
        <f>B7/B6</f>
        <v>0.99864919717183198</v>
      </c>
      <c r="C9" t="s">
        <v>14</v>
      </c>
      <c r="D9" t="s">
        <v>15</v>
      </c>
    </row>
    <row r="10" spans="1:4" ht="25.05" customHeight="1">
      <c r="A10" t="s">
        <v>16</v>
      </c>
      <c r="B10" s="2">
        <f>B8/B6</f>
        <v>1.3508028281680117E-3</v>
      </c>
      <c r="C10" t="s">
        <v>14</v>
      </c>
      <c r="D10" t="s">
        <v>17</v>
      </c>
    </row>
    <row r="11" spans="1:4" ht="25.05" customHeight="1">
      <c r="A11" t="s">
        <v>18</v>
      </c>
      <c r="B11" s="3">
        <v>5545493</v>
      </c>
      <c r="C11" t="s">
        <v>19</v>
      </c>
      <c r="D11" t="s">
        <v>20</v>
      </c>
    </row>
    <row r="12" spans="1:4" ht="25.05" customHeight="1">
      <c r="A12" t="s">
        <v>21</v>
      </c>
      <c r="B12" s="3">
        <f>B7-B11</f>
        <v>0</v>
      </c>
      <c r="C12" t="s">
        <v>19</v>
      </c>
      <c r="D12" t="s">
        <v>22</v>
      </c>
    </row>
    <row r="13" spans="1:4" ht="25.05" customHeight="1">
      <c r="A13" t="s">
        <v>23</v>
      </c>
      <c r="B13" s="4">
        <v>14.53</v>
      </c>
      <c r="C13" t="s">
        <v>24</v>
      </c>
      <c r="D13" t="s">
        <v>25</v>
      </c>
    </row>
    <row r="14" spans="1:4" ht="25.05" customHeight="1">
      <c r="A14" t="s">
        <v>26</v>
      </c>
      <c r="B14" s="4">
        <v>1.6666666666666666E-2</v>
      </c>
      <c r="C14" t="s">
        <v>24</v>
      </c>
      <c r="D14" t="s">
        <v>27</v>
      </c>
    </row>
    <row r="15" spans="1:4" ht="25.05" customHeight="1">
      <c r="A15" t="s">
        <v>28</v>
      </c>
      <c r="B15" s="4">
        <v>1439.97595</v>
      </c>
      <c r="C15" t="s">
        <v>24</v>
      </c>
      <c r="D15" t="s">
        <v>29</v>
      </c>
    </row>
    <row r="16" spans="1:4" ht="25.05" customHeight="1">
      <c r="A16" t="s">
        <v>30</v>
      </c>
      <c r="B16" t="s">
        <v>31</v>
      </c>
      <c r="C16" t="s">
        <v>32</v>
      </c>
      <c r="D16" t="s">
        <v>33</v>
      </c>
    </row>
    <row r="17" spans="1:4" ht="25.05" customHeight="1">
      <c r="A17" t="s">
        <v>34</v>
      </c>
      <c r="B17" t="s">
        <v>35</v>
      </c>
      <c r="C17" t="s">
        <v>32</v>
      </c>
      <c r="D17" t="s">
        <v>33</v>
      </c>
    </row>
    <row r="20" spans="1:4">
      <c r="A20" s="8" t="s">
        <v>36</v>
      </c>
      <c r="B20" s="8"/>
      <c r="C20" s="8"/>
      <c r="D20" s="8"/>
    </row>
    <row r="21" spans="1:4">
      <c r="A21" s="9" t="s">
        <v>37</v>
      </c>
      <c r="B21" s="9"/>
      <c r="C21" s="9"/>
      <c r="D21" s="9"/>
    </row>
    <row r="22" spans="1:4">
      <c r="A22" s="9"/>
      <c r="B22" s="9"/>
      <c r="C22" s="9"/>
      <c r="D22" s="9"/>
    </row>
  </sheetData>
  <mergeCells count="4">
    <mergeCell ref="A1:D2"/>
    <mergeCell ref="A3:D3"/>
    <mergeCell ref="A20:D20"/>
    <mergeCell ref="A21:D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pane ySplit="5" topLeftCell="A6" activePane="bottomLeft" state="frozen"/>
      <selection pane="bottomLeft"/>
    </sheetView>
  </sheetViews>
  <sheetFormatPr defaultRowHeight="13.8"/>
  <cols>
    <col min="1" max="1" width="38" customWidth="1"/>
    <col min="2" max="2" width="20" customWidth="1"/>
    <col min="3" max="3" width="25" customWidth="1"/>
    <col min="4" max="4" width="70" customWidth="1"/>
  </cols>
  <sheetData>
    <row r="1" spans="1:4" ht="25.95" customHeight="1">
      <c r="A1" s="6" t="s">
        <v>38</v>
      </c>
      <c r="B1" s="6"/>
      <c r="C1" s="6"/>
      <c r="D1" s="6"/>
    </row>
    <row r="2" spans="1:4" ht="25.95" customHeight="1">
      <c r="A2" s="6"/>
      <c r="B2" s="6"/>
      <c r="C2" s="6"/>
      <c r="D2" s="6"/>
    </row>
    <row r="3" spans="1:4" ht="30" customHeight="1">
      <c r="A3" s="7" t="s">
        <v>39</v>
      </c>
      <c r="B3" s="7"/>
      <c r="C3" s="7"/>
      <c r="D3" s="7"/>
    </row>
    <row r="5" spans="1:4" ht="28.95" customHeight="1">
      <c r="A5" s="1" t="s">
        <v>40</v>
      </c>
      <c r="B5" s="1" t="s">
        <v>41</v>
      </c>
      <c r="C5" s="1" t="s">
        <v>42</v>
      </c>
      <c r="D5" s="1" t="s">
        <v>43</v>
      </c>
    </row>
    <row r="6" spans="1:4" ht="25.95" customHeight="1">
      <c r="A6" t="s">
        <v>6</v>
      </c>
      <c r="B6" s="3">
        <v>5552994</v>
      </c>
      <c r="C6" t="s">
        <v>44</v>
      </c>
      <c r="D6" t="s">
        <v>45</v>
      </c>
    </row>
    <row r="7" spans="1:4" ht="25.95" customHeight="1">
      <c r="A7" t="s">
        <v>46</v>
      </c>
      <c r="B7" s="3">
        <v>0</v>
      </c>
      <c r="C7" t="s">
        <v>47</v>
      </c>
      <c r="D7" t="s">
        <v>48</v>
      </c>
    </row>
    <row r="8" spans="1:4" ht="25.95" customHeight="1">
      <c r="A8" t="s">
        <v>49</v>
      </c>
      <c r="B8" s="3">
        <v>0</v>
      </c>
      <c r="C8" t="s">
        <v>47</v>
      </c>
      <c r="D8" t="s">
        <v>50</v>
      </c>
    </row>
    <row r="9" spans="1:4" ht="25.95" customHeight="1">
      <c r="A9" t="s">
        <v>51</v>
      </c>
      <c r="B9" s="3">
        <v>1837</v>
      </c>
      <c r="C9" t="s">
        <v>52</v>
      </c>
      <c r="D9" t="s">
        <v>53</v>
      </c>
    </row>
    <row r="10" spans="1:4" ht="25.95" customHeight="1">
      <c r="A10" t="s">
        <v>54</v>
      </c>
      <c r="B10" s="3">
        <v>5611</v>
      </c>
      <c r="C10" t="s">
        <v>52</v>
      </c>
      <c r="D10" t="s">
        <v>53</v>
      </c>
    </row>
    <row r="11" spans="1:4" ht="25.95" customHeight="1">
      <c r="A11" t="s">
        <v>55</v>
      </c>
      <c r="B11" s="3">
        <v>53</v>
      </c>
      <c r="C11" t="s">
        <v>52</v>
      </c>
      <c r="D11" t="s">
        <v>56</v>
      </c>
    </row>
    <row r="12" spans="1:4" ht="25.95" customHeight="1">
      <c r="A12" t="s">
        <v>57</v>
      </c>
      <c r="B12" s="3">
        <v>5545493</v>
      </c>
      <c r="C12" t="s">
        <v>47</v>
      </c>
      <c r="D12" t="s">
        <v>58</v>
      </c>
    </row>
    <row r="13" spans="1:4" ht="25.95" customHeight="1">
      <c r="A13" t="s">
        <v>59</v>
      </c>
      <c r="B13" s="3">
        <v>5545493</v>
      </c>
      <c r="C13" t="s">
        <v>47</v>
      </c>
      <c r="D13" t="s">
        <v>60</v>
      </c>
    </row>
    <row r="14" spans="1:4" ht="25.95" customHeight="1">
      <c r="A14" t="s">
        <v>61</v>
      </c>
      <c r="B14" s="3">
        <v>0</v>
      </c>
      <c r="C14" t="s">
        <v>47</v>
      </c>
      <c r="D14" t="s">
        <v>62</v>
      </c>
    </row>
    <row r="15" spans="1:4" ht="25.95" customHeight="1">
      <c r="A15" t="s">
        <v>63</v>
      </c>
      <c r="B15" s="3">
        <v>0</v>
      </c>
      <c r="C15" t="s">
        <v>47</v>
      </c>
      <c r="D15" t="s">
        <v>62</v>
      </c>
    </row>
    <row r="16" spans="1:4" ht="25.95" customHeight="1">
      <c r="A16" t="s">
        <v>64</v>
      </c>
      <c r="B16" s="3">
        <v>0</v>
      </c>
      <c r="C16" t="s">
        <v>47</v>
      </c>
      <c r="D16" t="s">
        <v>65</v>
      </c>
    </row>
    <row r="17" spans="1:4" ht="25.95" customHeight="1">
      <c r="A17" t="s">
        <v>66</v>
      </c>
      <c r="B17" s="3">
        <v>0</v>
      </c>
      <c r="C17" t="s">
        <v>47</v>
      </c>
      <c r="D17" t="s">
        <v>67</v>
      </c>
    </row>
    <row r="18" spans="1:4" ht="25.95" customHeight="1">
      <c r="A18" t="s">
        <v>68</v>
      </c>
      <c r="B18" s="3">
        <v>0</v>
      </c>
      <c r="C18" t="s">
        <v>47</v>
      </c>
      <c r="D18" t="s">
        <v>69</v>
      </c>
    </row>
    <row r="19" spans="1:4" ht="25.95" customHeight="1">
      <c r="A19" t="s">
        <v>70</v>
      </c>
      <c r="B19" s="3">
        <v>0</v>
      </c>
      <c r="C19" t="s">
        <v>47</v>
      </c>
      <c r="D19" t="s">
        <v>71</v>
      </c>
    </row>
    <row r="20" spans="1:4" ht="25.95" customHeight="1">
      <c r="A20" t="s">
        <v>72</v>
      </c>
      <c r="B20" s="3">
        <v>0</v>
      </c>
      <c r="C20" t="s">
        <v>47</v>
      </c>
      <c r="D20" t="s">
        <v>73</v>
      </c>
    </row>
    <row r="21" spans="1:4" ht="25.95" customHeight="1">
      <c r="A21" t="s">
        <v>74</v>
      </c>
      <c r="B21" s="3">
        <v>0</v>
      </c>
      <c r="C21" t="s">
        <v>47</v>
      </c>
      <c r="D21" t="s">
        <v>75</v>
      </c>
    </row>
    <row r="22" spans="1:4" ht="25.95" customHeight="1">
      <c r="A22" t="s">
        <v>76</v>
      </c>
      <c r="B22" s="3">
        <v>0</v>
      </c>
      <c r="C22" t="s">
        <v>47</v>
      </c>
      <c r="D22" t="s">
        <v>75</v>
      </c>
    </row>
    <row r="23" spans="1:4" ht="25.95" customHeight="1">
      <c r="A23" t="s">
        <v>77</v>
      </c>
      <c r="B23" s="3">
        <v>134</v>
      </c>
      <c r="C23" t="s">
        <v>78</v>
      </c>
      <c r="D23" t="s">
        <v>79</v>
      </c>
    </row>
    <row r="24" spans="1:4" ht="25.95" customHeight="1">
      <c r="A24" t="s">
        <v>80</v>
      </c>
      <c r="B24" s="3">
        <v>134</v>
      </c>
      <c r="C24" t="s">
        <v>78</v>
      </c>
      <c r="D24" t="s">
        <v>79</v>
      </c>
    </row>
    <row r="25" spans="1:4" ht="25.95" customHeight="1">
      <c r="A25" t="s">
        <v>81</v>
      </c>
      <c r="B25" s="3"/>
      <c r="C25" t="s">
        <v>82</v>
      </c>
      <c r="D25" t="s">
        <v>83</v>
      </c>
    </row>
    <row r="26" spans="1:4" ht="25.95" customHeight="1">
      <c r="A26" t="s">
        <v>84</v>
      </c>
      <c r="B26" s="3"/>
      <c r="C26" t="s">
        <v>85</v>
      </c>
      <c r="D26" t="s">
        <v>86</v>
      </c>
    </row>
  </sheetData>
  <mergeCells count="2">
    <mergeCell ref="A1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5" topLeftCell="A6" activePane="bottomLeft" state="frozen"/>
      <selection pane="bottomLeft"/>
    </sheetView>
  </sheetViews>
  <sheetFormatPr defaultRowHeight="13.8"/>
  <cols>
    <col min="1" max="1" width="24" customWidth="1"/>
    <col min="2" max="2" width="45" customWidth="1"/>
    <col min="3" max="3" width="64" customWidth="1"/>
    <col min="4" max="4" width="38" customWidth="1"/>
  </cols>
  <sheetData>
    <row r="1" spans="1:4" ht="25.95" customHeight="1">
      <c r="A1" s="6" t="s">
        <v>87</v>
      </c>
      <c r="B1" s="6"/>
      <c r="C1" s="6"/>
      <c r="D1" s="6"/>
    </row>
    <row r="2" spans="1:4" ht="25.95" customHeight="1">
      <c r="A2" s="6"/>
      <c r="B2" s="6"/>
      <c r="C2" s="6"/>
      <c r="D2" s="6"/>
    </row>
    <row r="3" spans="1:4" ht="30" customHeight="1">
      <c r="A3" s="7" t="s">
        <v>88</v>
      </c>
      <c r="B3" s="7"/>
      <c r="C3" s="7"/>
      <c r="D3" s="7"/>
    </row>
    <row r="5" spans="1:4" ht="28.95" customHeight="1">
      <c r="A5" s="1" t="s">
        <v>89</v>
      </c>
      <c r="B5" s="1" t="s">
        <v>90</v>
      </c>
      <c r="C5" s="1" t="s">
        <v>91</v>
      </c>
      <c r="D5" s="1" t="s">
        <v>92</v>
      </c>
    </row>
    <row r="6" spans="1:4" ht="43.05" customHeight="1">
      <c r="A6" s="5" t="s">
        <v>93</v>
      </c>
      <c r="B6" s="5" t="s">
        <v>94</v>
      </c>
      <c r="C6" s="5" t="s">
        <v>95</v>
      </c>
      <c r="D6" s="5" t="s">
        <v>96</v>
      </c>
    </row>
    <row r="7" spans="1:4" ht="43.05" customHeight="1">
      <c r="A7" s="5" t="s">
        <v>97</v>
      </c>
      <c r="B7" s="5" t="s">
        <v>98</v>
      </c>
      <c r="C7" s="5" t="s">
        <v>99</v>
      </c>
      <c r="D7" s="5" t="s">
        <v>100</v>
      </c>
    </row>
    <row r="8" spans="1:4" ht="43.05" customHeight="1">
      <c r="A8" s="5" t="s">
        <v>101</v>
      </c>
      <c r="B8" s="5" t="s">
        <v>102</v>
      </c>
      <c r="C8" s="5" t="s">
        <v>103</v>
      </c>
      <c r="D8" s="5" t="s">
        <v>104</v>
      </c>
    </row>
    <row r="9" spans="1:4" ht="43.05" customHeight="1">
      <c r="A9" s="5" t="s">
        <v>105</v>
      </c>
      <c r="B9" s="5" t="s">
        <v>106</v>
      </c>
      <c r="C9" s="5" t="s">
        <v>107</v>
      </c>
      <c r="D9" s="5" t="s">
        <v>108</v>
      </c>
    </row>
    <row r="10" spans="1:4" ht="43.05" customHeight="1">
      <c r="A10" s="5" t="s">
        <v>109</v>
      </c>
      <c r="B10" s="5" t="s">
        <v>110</v>
      </c>
      <c r="C10" s="5" t="s">
        <v>111</v>
      </c>
      <c r="D10" s="5" t="s">
        <v>112</v>
      </c>
    </row>
    <row r="11" spans="1:4" ht="43.05" customHeight="1">
      <c r="A11" s="5" t="s">
        <v>113</v>
      </c>
      <c r="B11" s="5" t="s">
        <v>114</v>
      </c>
      <c r="C11" s="5" t="s">
        <v>115</v>
      </c>
      <c r="D11" s="5" t="s">
        <v>116</v>
      </c>
    </row>
    <row r="12" spans="1:4" ht="43.05" customHeight="1">
      <c r="A12" s="5" t="s">
        <v>117</v>
      </c>
      <c r="B12" s="5" t="s">
        <v>118</v>
      </c>
      <c r="C12" s="5" t="s">
        <v>119</v>
      </c>
      <c r="D12" s="5" t="s">
        <v>120</v>
      </c>
    </row>
    <row r="13" spans="1:4" ht="43.05" customHeight="1">
      <c r="A13" s="5" t="s">
        <v>121</v>
      </c>
      <c r="B13" s="5" t="s">
        <v>122</v>
      </c>
      <c r="C13" s="5" t="s">
        <v>123</v>
      </c>
      <c r="D13" s="5" t="s">
        <v>124</v>
      </c>
    </row>
    <row r="14" spans="1:4" ht="43.05" customHeight="1">
      <c r="A14" s="5" t="s">
        <v>125</v>
      </c>
      <c r="B14" s="5" t="s">
        <v>126</v>
      </c>
      <c r="C14" s="5" t="s">
        <v>127</v>
      </c>
      <c r="D14" s="5" t="s">
        <v>128</v>
      </c>
    </row>
    <row r="15" spans="1:4" ht="43.05" customHeight="1">
      <c r="A15" s="5" t="s">
        <v>129</v>
      </c>
      <c r="B15" s="5" t="s">
        <v>130</v>
      </c>
      <c r="C15" s="5" t="s">
        <v>131</v>
      </c>
      <c r="D15" s="5" t="s">
        <v>132</v>
      </c>
    </row>
    <row r="16" spans="1:4" ht="43.05" customHeight="1">
      <c r="A16" s="5" t="s">
        <v>133</v>
      </c>
      <c r="B16" s="5" t="s">
        <v>134</v>
      </c>
      <c r="C16" s="5" t="s">
        <v>135</v>
      </c>
      <c r="D16" s="5" t="s">
        <v>136</v>
      </c>
    </row>
    <row r="17" spans="1:4" ht="43.05" customHeight="1">
      <c r="A17" s="5" t="s">
        <v>137</v>
      </c>
      <c r="B17" s="5" t="s">
        <v>138</v>
      </c>
      <c r="C17" s="5" t="s">
        <v>139</v>
      </c>
      <c r="D17" s="5" t="s">
        <v>140</v>
      </c>
    </row>
    <row r="18" spans="1:4" ht="43.05" customHeight="1">
      <c r="A18" s="5" t="s">
        <v>141</v>
      </c>
      <c r="B18" s="5" t="s">
        <v>142</v>
      </c>
      <c r="C18" s="5" t="s">
        <v>143</v>
      </c>
      <c r="D18" s="5" t="s">
        <v>144</v>
      </c>
    </row>
    <row r="19" spans="1:4" ht="43.05" customHeight="1">
      <c r="A19" s="5" t="s">
        <v>141</v>
      </c>
      <c r="B19" s="5" t="s">
        <v>145</v>
      </c>
      <c r="C19" s="5" t="s">
        <v>146</v>
      </c>
      <c r="D19" s="5" t="s">
        <v>147</v>
      </c>
    </row>
    <row r="20" spans="1:4" ht="43.05" customHeight="1">
      <c r="A20" s="5" t="s">
        <v>141</v>
      </c>
      <c r="B20" s="5" t="s">
        <v>148</v>
      </c>
      <c r="C20" s="5" t="s">
        <v>149</v>
      </c>
      <c r="D20" s="5" t="s">
        <v>150</v>
      </c>
    </row>
    <row r="21" spans="1:4" ht="43.05" customHeight="1">
      <c r="A21" s="5" t="s">
        <v>141</v>
      </c>
      <c r="B21" s="5" t="s">
        <v>151</v>
      </c>
      <c r="C21" s="5" t="s">
        <v>152</v>
      </c>
      <c r="D21" s="5" t="s">
        <v>153</v>
      </c>
    </row>
  </sheetData>
  <mergeCells count="2"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Cleaning Summary</vt:lpstr>
      <vt:lpstr>Data Quality Checks</vt:lpstr>
      <vt:lpstr>Cleaning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Ramirez</cp:lastModifiedBy>
  <dcterms:modified xsi:type="dcterms:W3CDTF">2026-10-26T18:26:56Z</dcterms:modified>
</cp:coreProperties>
</file>